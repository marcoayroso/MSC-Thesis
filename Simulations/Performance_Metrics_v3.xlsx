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oayroso/Library/Mobile Documents/com~apple~CloudDocs/MSc Thesis/Thesis/Simulation Studies/"/>
    </mc:Choice>
  </mc:AlternateContent>
  <xr:revisionPtr revIDLastSave="0" documentId="13_ncr:1_{23F2F228-68C2-3E4E-8194-C6C0A9FA2727}" xr6:coauthVersionLast="47" xr6:coauthVersionMax="47" xr10:uidLastSave="{00000000-0000-0000-0000-000000000000}"/>
  <bookViews>
    <workbookView xWindow="0" yWindow="660" windowWidth="29400" windowHeight="18460" activeTab="1" xr2:uid="{3F1D4E09-8AA7-2E46-BECA-FD11256D8509}"/>
  </bookViews>
  <sheets>
    <sheet name="pi_101" sheetId="1" r:id="rId1"/>
    <sheet name="theta_10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J3" i="2"/>
  <c r="J4" i="2"/>
  <c r="J5" i="2"/>
  <c r="J6" i="2"/>
  <c r="J7" i="2"/>
  <c r="J2" i="2"/>
  <c r="F3" i="2"/>
  <c r="F4" i="2"/>
  <c r="F6" i="2"/>
  <c r="F7" i="2"/>
  <c r="F2" i="2"/>
  <c r="H3" i="2"/>
  <c r="H4" i="2"/>
  <c r="H5" i="2"/>
  <c r="H6" i="2"/>
  <c r="H7" i="2"/>
  <c r="H2" i="2"/>
  <c r="L3" i="2"/>
  <c r="L4" i="2"/>
  <c r="L5" i="2"/>
  <c r="L6" i="2"/>
  <c r="L7" i="2"/>
  <c r="L2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2" i="1"/>
</calcChain>
</file>

<file path=xl/sharedStrings.xml><?xml version="1.0" encoding="utf-8"?>
<sst xmlns="http://schemas.openxmlformats.org/spreadsheetml/2006/main" count="94" uniqueCount="26">
  <si>
    <t>Study</t>
  </si>
  <si>
    <t>DGP</t>
  </si>
  <si>
    <t>Scenario</t>
  </si>
  <si>
    <t>True value</t>
  </si>
  <si>
    <t>Mean estimate</t>
  </si>
  <si>
    <t>Bias</t>
  </si>
  <si>
    <t>Relative bias</t>
  </si>
  <si>
    <t>MSE</t>
  </si>
  <si>
    <t>Coverage</t>
  </si>
  <si>
    <t>Power</t>
  </si>
  <si>
    <t>MLM</t>
  </si>
  <si>
    <t>MELSM</t>
  </si>
  <si>
    <t>𝜃_101 = -0.5</t>
  </si>
  <si>
    <t>𝜃_101 = 0</t>
  </si>
  <si>
    <t>𝜃_101 = 0.5</t>
  </si>
  <si>
    <t>Scenario/true value</t>
  </si>
  <si>
    <t>Bias-adjusted coverage</t>
  </si>
  <si>
    <t>*</t>
  </si>
  <si>
    <t>Relative bias %</t>
  </si>
  <si>
    <t>Bias E-3</t>
  </si>
  <si>
    <t>MSE E-3</t>
  </si>
  <si>
    <t>MSE e-2</t>
  </si>
  <si>
    <t>Bias e-2</t>
  </si>
  <si>
    <t>Model</t>
  </si>
  <si>
    <t>Mean variance</t>
  </si>
  <si>
    <t>Power_bayes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</si>
</sst>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476250</xdr:colOff>
      <xdr:row>16</xdr:row>
      <xdr:rowOff>152400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C2331F-52B4-14F4-06CE-7B376D101B36}"/>
            </a:ext>
          </a:extLst>
        </xdr:cNvPr>
        <xdr:cNvSpPr txBox="1"/>
      </xdr:nvSpPr>
      <xdr:spPr>
        <a:xfrm>
          <a:off x="8299450" y="3403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476250</xdr:colOff>
      <xdr:row>12</xdr:row>
      <xdr:rowOff>152400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55A4323-1166-C54A-B20F-462138EE3C04}"/>
            </a:ext>
          </a:extLst>
        </xdr:cNvPr>
        <xdr:cNvSpPr txBox="1"/>
      </xdr:nvSpPr>
      <xdr:spPr>
        <a:xfrm>
          <a:off x="7499350" y="3403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B4E7A-0AAD-9B41-926D-30E802BBF9D6}">
  <dimension ref="A1:N17"/>
  <sheetViews>
    <sheetView workbookViewId="0">
      <selection activeCell="N17" sqref="A1:N17"/>
    </sheetView>
  </sheetViews>
  <sheetFormatPr baseColWidth="10" defaultRowHeight="16" x14ac:dyDescent="0.2"/>
  <cols>
    <col min="4" max="4" width="16" bestFit="1" customWidth="1"/>
    <col min="5" max="5" width="9.33203125" hidden="1" customWidth="1"/>
    <col min="6" max="6" width="13.5" bestFit="1" customWidth="1"/>
    <col min="7" max="7" width="7.83203125" bestFit="1" customWidth="1"/>
    <col min="8" max="8" width="7.83203125" hidden="1" customWidth="1"/>
    <col min="9" max="9" width="11.6640625" bestFit="1" customWidth="1"/>
    <col min="10" max="10" width="13.6640625" bestFit="1" customWidth="1"/>
    <col min="12" max="12" width="0" hidden="1" customWidth="1"/>
  </cols>
  <sheetData>
    <row r="1" spans="1:14" x14ac:dyDescent="0.2">
      <c r="A1" s="1" t="s">
        <v>0</v>
      </c>
      <c r="B1" s="1" t="s">
        <v>1</v>
      </c>
      <c r="C1" s="1" t="s">
        <v>23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19</v>
      </c>
      <c r="I1" s="1" t="s">
        <v>6</v>
      </c>
      <c r="J1" s="1" t="s">
        <v>18</v>
      </c>
      <c r="K1" s="1" t="s">
        <v>7</v>
      </c>
      <c r="L1" s="1" t="s">
        <v>20</v>
      </c>
      <c r="M1" s="1" t="s">
        <v>8</v>
      </c>
      <c r="N1" s="1" t="s">
        <v>9</v>
      </c>
    </row>
    <row r="2" spans="1:14" x14ac:dyDescent="0.2">
      <c r="A2">
        <v>1</v>
      </c>
      <c r="B2" t="s">
        <v>10</v>
      </c>
      <c r="C2" t="s">
        <v>10</v>
      </c>
      <c r="D2" t="s">
        <v>17</v>
      </c>
      <c r="E2" s="2">
        <v>-1</v>
      </c>
      <c r="F2">
        <v>-0.99926096819999999</v>
      </c>
      <c r="G2">
        <v>6.9999999999999999E-4</v>
      </c>
      <c r="H2">
        <f>G2*1000</f>
        <v>0.7</v>
      </c>
      <c r="I2">
        <v>-6.9999999999999999E-4</v>
      </c>
      <c r="J2">
        <f>I2*100</f>
        <v>-6.9999999999999993E-2</v>
      </c>
      <c r="K2">
        <v>2.9999999999999997E-4</v>
      </c>
      <c r="L2">
        <f>K2*1000</f>
        <v>0.3</v>
      </c>
      <c r="M2">
        <v>0.93389999999999995</v>
      </c>
      <c r="N2">
        <v>1</v>
      </c>
    </row>
    <row r="3" spans="1:14" x14ac:dyDescent="0.2">
      <c r="A3">
        <v>1</v>
      </c>
      <c r="B3" t="s">
        <v>10</v>
      </c>
      <c r="C3" t="s">
        <v>11</v>
      </c>
      <c r="D3" t="s">
        <v>17</v>
      </c>
      <c r="E3" s="2">
        <v>-1</v>
      </c>
      <c r="F3">
        <v>-0.99926357349999995</v>
      </c>
      <c r="G3">
        <v>6.9999999999999999E-4</v>
      </c>
      <c r="H3">
        <f t="shared" ref="H3:H17" si="0">G3*1000</f>
        <v>0.7</v>
      </c>
      <c r="I3">
        <v>-6.9999999999999999E-4</v>
      </c>
      <c r="J3">
        <f t="shared" ref="J3:J17" si="1">I3*100</f>
        <v>-6.9999999999999993E-2</v>
      </c>
      <c r="K3">
        <v>2.9999999999999997E-4</v>
      </c>
      <c r="L3">
        <f t="shared" ref="L3:L17" si="2">K3*1000</f>
        <v>0.3</v>
      </c>
      <c r="M3">
        <v>0.94799999999999995</v>
      </c>
      <c r="N3">
        <v>1</v>
      </c>
    </row>
    <row r="4" spans="1:14" x14ac:dyDescent="0.2">
      <c r="A4" s="5">
        <v>1</v>
      </c>
      <c r="B4" s="5" t="s">
        <v>11</v>
      </c>
      <c r="C4" s="5" t="s">
        <v>10</v>
      </c>
      <c r="D4" s="5" t="s">
        <v>12</v>
      </c>
      <c r="E4" s="6">
        <v>-1</v>
      </c>
      <c r="F4" s="6">
        <v>-0.99940475799999995</v>
      </c>
      <c r="G4" s="5">
        <v>5.9999999999999995E-4</v>
      </c>
      <c r="H4" s="5">
        <f t="shared" si="0"/>
        <v>0.6</v>
      </c>
      <c r="I4" s="5">
        <v>-5.9999999999999995E-4</v>
      </c>
      <c r="J4" s="5">
        <f t="shared" si="1"/>
        <v>-0.06</v>
      </c>
      <c r="K4" s="5">
        <v>1.4E-3</v>
      </c>
      <c r="L4" s="5">
        <f t="shared" si="2"/>
        <v>1.4</v>
      </c>
      <c r="M4" s="5">
        <v>0.96289999999999998</v>
      </c>
      <c r="N4" s="5">
        <v>1</v>
      </c>
    </row>
    <row r="5" spans="1:14" x14ac:dyDescent="0.2">
      <c r="A5" s="5">
        <v>1</v>
      </c>
      <c r="B5" s="5" t="s">
        <v>11</v>
      </c>
      <c r="C5" s="5" t="s">
        <v>10</v>
      </c>
      <c r="D5" s="5" t="s">
        <v>13</v>
      </c>
      <c r="E5" s="6">
        <v>-1</v>
      </c>
      <c r="F5" s="6">
        <v>-0.99986707399999997</v>
      </c>
      <c r="G5" s="5">
        <v>1E-4</v>
      </c>
      <c r="H5" s="5">
        <f t="shared" si="0"/>
        <v>0.1</v>
      </c>
      <c r="I5" s="5">
        <v>-1E-4</v>
      </c>
      <c r="J5" s="5">
        <f t="shared" si="1"/>
        <v>-0.01</v>
      </c>
      <c r="K5" s="5">
        <v>1.6000000000000001E-3</v>
      </c>
      <c r="L5" s="5">
        <f t="shared" si="2"/>
        <v>1.6</v>
      </c>
      <c r="M5" s="5">
        <v>0.96089999999999998</v>
      </c>
      <c r="N5" s="5">
        <v>1</v>
      </c>
    </row>
    <row r="6" spans="1:14" x14ac:dyDescent="0.2">
      <c r="A6" s="5">
        <v>1</v>
      </c>
      <c r="B6" s="5" t="s">
        <v>11</v>
      </c>
      <c r="C6" s="5" t="s">
        <v>10</v>
      </c>
      <c r="D6" s="5" t="s">
        <v>14</v>
      </c>
      <c r="E6" s="6">
        <v>-1</v>
      </c>
      <c r="F6" s="5">
        <v>-1.0041307960000001</v>
      </c>
      <c r="G6" s="5">
        <v>-4.1000000000000003E-3</v>
      </c>
      <c r="H6" s="5">
        <f t="shared" si="0"/>
        <v>-4.1000000000000005</v>
      </c>
      <c r="I6" s="5">
        <v>4.1000000000000003E-3</v>
      </c>
      <c r="J6" s="5">
        <f t="shared" si="1"/>
        <v>0.41000000000000003</v>
      </c>
      <c r="K6" s="5">
        <v>2.5999999999999999E-3</v>
      </c>
      <c r="L6" s="5">
        <f t="shared" si="2"/>
        <v>2.6</v>
      </c>
      <c r="M6" s="5">
        <v>0.94789999999999996</v>
      </c>
      <c r="N6" s="5">
        <v>1</v>
      </c>
    </row>
    <row r="7" spans="1:14" x14ac:dyDescent="0.2">
      <c r="A7" s="5">
        <v>1</v>
      </c>
      <c r="B7" s="5" t="s">
        <v>11</v>
      </c>
      <c r="C7" s="5" t="s">
        <v>11</v>
      </c>
      <c r="D7" s="5" t="s">
        <v>12</v>
      </c>
      <c r="E7" s="6">
        <v>-1</v>
      </c>
      <c r="F7" s="6">
        <v>-0.99947953099999998</v>
      </c>
      <c r="G7" s="5">
        <v>5.0000000000000001E-4</v>
      </c>
      <c r="H7" s="5">
        <f t="shared" si="0"/>
        <v>0.5</v>
      </c>
      <c r="I7" s="5">
        <v>-5.0000000000000001E-4</v>
      </c>
      <c r="J7" s="5">
        <f t="shared" si="1"/>
        <v>-0.05</v>
      </c>
      <c r="K7" s="5">
        <v>8.9999999999999998E-4</v>
      </c>
      <c r="L7" s="5">
        <f t="shared" si="2"/>
        <v>0.9</v>
      </c>
      <c r="M7" s="5">
        <v>0.96699999999999997</v>
      </c>
      <c r="N7" s="5">
        <v>1</v>
      </c>
    </row>
    <row r="8" spans="1:14" x14ac:dyDescent="0.2">
      <c r="A8" s="5">
        <v>1</v>
      </c>
      <c r="B8" s="5" t="s">
        <v>11</v>
      </c>
      <c r="C8" s="5" t="s">
        <v>11</v>
      </c>
      <c r="D8" s="5" t="s">
        <v>13</v>
      </c>
      <c r="E8" s="6">
        <v>-1</v>
      </c>
      <c r="F8" s="6">
        <v>-0.999733498</v>
      </c>
      <c r="G8" s="5">
        <v>2.9999999999999997E-4</v>
      </c>
      <c r="H8" s="5">
        <f t="shared" si="0"/>
        <v>0.3</v>
      </c>
      <c r="I8" s="5">
        <v>-2.9999999999999997E-4</v>
      </c>
      <c r="J8" s="5">
        <f t="shared" si="1"/>
        <v>-0.03</v>
      </c>
      <c r="K8" s="5">
        <v>1.1000000000000001E-3</v>
      </c>
      <c r="L8" s="5">
        <f t="shared" si="2"/>
        <v>1.1000000000000001</v>
      </c>
      <c r="M8" s="5">
        <v>0.97599999999999998</v>
      </c>
      <c r="N8" s="5">
        <v>1</v>
      </c>
    </row>
    <row r="9" spans="1:14" x14ac:dyDescent="0.2">
      <c r="A9" s="5">
        <v>1</v>
      </c>
      <c r="B9" s="5" t="s">
        <v>11</v>
      </c>
      <c r="C9" s="5" t="s">
        <v>11</v>
      </c>
      <c r="D9" s="5" t="s">
        <v>14</v>
      </c>
      <c r="E9" s="6">
        <v>-1</v>
      </c>
      <c r="F9" s="6">
        <v>-1.002722694</v>
      </c>
      <c r="G9" s="5">
        <v>-2.7000000000000001E-3</v>
      </c>
      <c r="H9" s="5">
        <f t="shared" si="0"/>
        <v>-2.7</v>
      </c>
      <c r="I9" s="5">
        <v>2.7000000000000001E-3</v>
      </c>
      <c r="J9" s="5">
        <f t="shared" si="1"/>
        <v>0.27</v>
      </c>
      <c r="K9" s="5">
        <v>1.4E-3</v>
      </c>
      <c r="L9" s="5">
        <f t="shared" si="2"/>
        <v>1.4</v>
      </c>
      <c r="M9" s="5">
        <v>0.97299999999999998</v>
      </c>
      <c r="N9" s="5">
        <v>1</v>
      </c>
    </row>
    <row r="10" spans="1:14" x14ac:dyDescent="0.2">
      <c r="A10">
        <v>2</v>
      </c>
      <c r="B10" t="s">
        <v>10</v>
      </c>
      <c r="C10" t="s">
        <v>10</v>
      </c>
      <c r="D10" t="s">
        <v>17</v>
      </c>
      <c r="E10" s="2">
        <v>-1</v>
      </c>
      <c r="F10" s="2">
        <v>-0.99879092359999999</v>
      </c>
      <c r="G10">
        <v>1.1999999999999999E-3</v>
      </c>
      <c r="H10">
        <f t="shared" si="0"/>
        <v>1.2</v>
      </c>
      <c r="I10">
        <v>-1.1999999999999999E-3</v>
      </c>
      <c r="J10">
        <f t="shared" si="1"/>
        <v>-0.12</v>
      </c>
      <c r="K10">
        <v>2.9999999999999997E-4</v>
      </c>
      <c r="L10">
        <f t="shared" si="2"/>
        <v>0.3</v>
      </c>
      <c r="M10">
        <v>0.95489999999999997</v>
      </c>
      <c r="N10">
        <v>1</v>
      </c>
    </row>
    <row r="11" spans="1:14" x14ac:dyDescent="0.2">
      <c r="A11">
        <v>2</v>
      </c>
      <c r="B11" t="s">
        <v>10</v>
      </c>
      <c r="C11" t="s">
        <v>11</v>
      </c>
      <c r="D11" t="s">
        <v>17</v>
      </c>
      <c r="E11" s="2">
        <v>-1</v>
      </c>
      <c r="F11" s="2">
        <v>-0.99899476899999995</v>
      </c>
      <c r="G11">
        <v>1E-3</v>
      </c>
      <c r="H11">
        <f t="shared" si="0"/>
        <v>1</v>
      </c>
      <c r="I11">
        <v>-1E-3</v>
      </c>
      <c r="J11">
        <f t="shared" si="1"/>
        <v>-0.1</v>
      </c>
      <c r="K11">
        <v>2.9999999999999997E-4</v>
      </c>
      <c r="L11">
        <f t="shared" si="2"/>
        <v>0.3</v>
      </c>
      <c r="M11">
        <v>0.94899999999999995</v>
      </c>
      <c r="N11">
        <v>1</v>
      </c>
    </row>
    <row r="12" spans="1:14" x14ac:dyDescent="0.2">
      <c r="A12" s="5">
        <v>2</v>
      </c>
      <c r="B12" s="5" t="s">
        <v>11</v>
      </c>
      <c r="C12" s="5" t="s">
        <v>10</v>
      </c>
      <c r="D12" s="5" t="s">
        <v>12</v>
      </c>
      <c r="E12" s="6">
        <v>-1</v>
      </c>
      <c r="F12" s="5">
        <v>-1.00013091</v>
      </c>
      <c r="G12" s="5">
        <v>-1E-4</v>
      </c>
      <c r="H12" s="5">
        <f t="shared" si="0"/>
        <v>-0.1</v>
      </c>
      <c r="I12" s="5">
        <v>1E-4</v>
      </c>
      <c r="J12" s="5">
        <f t="shared" si="1"/>
        <v>0.01</v>
      </c>
      <c r="K12" s="5">
        <v>2.5000000000000001E-3</v>
      </c>
      <c r="L12" s="5">
        <f t="shared" si="2"/>
        <v>2.5</v>
      </c>
      <c r="M12" s="5">
        <v>0.96289999999999998</v>
      </c>
      <c r="N12" s="5">
        <v>1</v>
      </c>
    </row>
    <row r="13" spans="1:14" x14ac:dyDescent="0.2">
      <c r="A13" s="5">
        <v>2</v>
      </c>
      <c r="B13" s="5" t="s">
        <v>11</v>
      </c>
      <c r="C13" s="5" t="s">
        <v>10</v>
      </c>
      <c r="D13" s="5" t="s">
        <v>13</v>
      </c>
      <c r="E13" s="6">
        <v>-1</v>
      </c>
      <c r="F13" s="5">
        <v>-1.0021516100000001</v>
      </c>
      <c r="G13" s="5">
        <v>-2.2000000000000001E-3</v>
      </c>
      <c r="H13" s="5">
        <f t="shared" si="0"/>
        <v>-2.2000000000000002</v>
      </c>
      <c r="I13" s="5">
        <v>2.2000000000000001E-3</v>
      </c>
      <c r="J13" s="5">
        <f t="shared" si="1"/>
        <v>0.22</v>
      </c>
      <c r="K13" s="5">
        <v>3.0999999999999999E-3</v>
      </c>
      <c r="L13" s="5">
        <f t="shared" si="2"/>
        <v>3.1</v>
      </c>
      <c r="M13" s="5">
        <v>0.95989999999999998</v>
      </c>
      <c r="N13" s="5">
        <v>1</v>
      </c>
    </row>
    <row r="14" spans="1:14" x14ac:dyDescent="0.2">
      <c r="A14" s="5">
        <v>2</v>
      </c>
      <c r="B14" s="5" t="s">
        <v>11</v>
      </c>
      <c r="C14" s="5" t="s">
        <v>10</v>
      </c>
      <c r="D14" s="5" t="s">
        <v>14</v>
      </c>
      <c r="E14" s="6">
        <v>-1</v>
      </c>
      <c r="F14" s="5">
        <v>-0.99912524999999996</v>
      </c>
      <c r="G14" s="5">
        <v>8.9999999999999998E-4</v>
      </c>
      <c r="H14" s="5">
        <f t="shared" si="0"/>
        <v>0.9</v>
      </c>
      <c r="I14" s="5">
        <v>-8.9999999999999998E-4</v>
      </c>
      <c r="J14" s="5">
        <f t="shared" si="1"/>
        <v>-0.09</v>
      </c>
      <c r="K14" s="5">
        <v>5.0000000000000001E-3</v>
      </c>
      <c r="L14" s="5">
        <f t="shared" si="2"/>
        <v>5</v>
      </c>
      <c r="M14" s="5">
        <v>0.95189999999999997</v>
      </c>
      <c r="N14" s="5">
        <v>1</v>
      </c>
    </row>
    <row r="15" spans="1:14" x14ac:dyDescent="0.2">
      <c r="A15" s="5">
        <v>2</v>
      </c>
      <c r="B15" s="5" t="s">
        <v>11</v>
      </c>
      <c r="C15" s="5" t="s">
        <v>11</v>
      </c>
      <c r="D15" s="5" t="s">
        <v>12</v>
      </c>
      <c r="E15" s="6">
        <v>-1</v>
      </c>
      <c r="F15" s="6">
        <v>-1.00089305</v>
      </c>
      <c r="G15" s="5">
        <v>-8.9999999999999998E-4</v>
      </c>
      <c r="H15" s="5">
        <f t="shared" si="0"/>
        <v>-0.9</v>
      </c>
      <c r="I15" s="5">
        <v>8.9999999999999998E-4</v>
      </c>
      <c r="J15" s="5">
        <f t="shared" si="1"/>
        <v>0.09</v>
      </c>
      <c r="K15" s="5">
        <v>1.1999999999999999E-3</v>
      </c>
      <c r="L15" s="5">
        <f t="shared" si="2"/>
        <v>1.2</v>
      </c>
      <c r="M15" s="5">
        <v>0.96799999999999997</v>
      </c>
      <c r="N15" s="5">
        <v>1</v>
      </c>
    </row>
    <row r="16" spans="1:14" x14ac:dyDescent="0.2">
      <c r="A16" s="5">
        <v>2</v>
      </c>
      <c r="B16" s="5" t="s">
        <v>11</v>
      </c>
      <c r="C16" s="5" t="s">
        <v>11</v>
      </c>
      <c r="D16" s="5" t="s">
        <v>13</v>
      </c>
      <c r="E16" s="6">
        <v>-1</v>
      </c>
      <c r="F16" s="6">
        <v>-1.00083085</v>
      </c>
      <c r="G16" s="5">
        <v>-8.0000000000000004E-4</v>
      </c>
      <c r="H16" s="5">
        <f t="shared" si="0"/>
        <v>-0.8</v>
      </c>
      <c r="I16" s="5">
        <v>8.0000000000000004E-4</v>
      </c>
      <c r="J16" s="5">
        <f t="shared" si="1"/>
        <v>0.08</v>
      </c>
      <c r="K16" s="5">
        <v>1.5E-3</v>
      </c>
      <c r="L16" s="5">
        <f t="shared" si="2"/>
        <v>1.5</v>
      </c>
      <c r="M16" s="5">
        <v>0.97099999999999997</v>
      </c>
      <c r="N16" s="5">
        <v>1</v>
      </c>
    </row>
    <row r="17" spans="1:14" x14ac:dyDescent="0.2">
      <c r="A17" s="5">
        <v>2</v>
      </c>
      <c r="B17" s="5" t="s">
        <v>11</v>
      </c>
      <c r="C17" s="5" t="s">
        <v>11</v>
      </c>
      <c r="D17" s="5" t="s">
        <v>14</v>
      </c>
      <c r="E17" s="6">
        <v>-1</v>
      </c>
      <c r="F17" s="5">
        <v>-1.0004657299999999</v>
      </c>
      <c r="G17" s="5">
        <v>-5.0000000000000001E-4</v>
      </c>
      <c r="H17" s="5">
        <f t="shared" si="0"/>
        <v>-0.5</v>
      </c>
      <c r="I17" s="5">
        <v>5.0000000000000001E-4</v>
      </c>
      <c r="J17" s="5">
        <f t="shared" si="1"/>
        <v>0.05</v>
      </c>
      <c r="K17" s="5">
        <v>1.8E-3</v>
      </c>
      <c r="L17" s="5">
        <f t="shared" si="2"/>
        <v>1.8</v>
      </c>
      <c r="M17" s="5">
        <v>0.97699999999999998</v>
      </c>
      <c r="N17" s="5">
        <v>1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AA27F-BC1E-FA49-BFF1-4505CE330A0D}">
  <dimension ref="A1:N14"/>
  <sheetViews>
    <sheetView tabSelected="1" zoomScale="107" zoomScaleNormal="150" workbookViewId="0">
      <selection activeCell="I21" sqref="I21"/>
    </sheetView>
  </sheetViews>
  <sheetFormatPr baseColWidth="10" defaultRowHeight="16" x14ac:dyDescent="0.2"/>
  <cols>
    <col min="4" max="4" width="17.1640625" bestFit="1" customWidth="1"/>
    <col min="5" max="5" width="13.5" bestFit="1" customWidth="1"/>
    <col min="6" max="6" width="13.5" hidden="1" customWidth="1"/>
    <col min="8" max="8" width="0" hidden="1" customWidth="1"/>
    <col min="9" max="9" width="11.6640625" bestFit="1" customWidth="1"/>
    <col min="10" max="10" width="11.6640625" customWidth="1"/>
    <col min="12" max="12" width="0" hidden="1" customWidth="1"/>
    <col min="13" max="13" width="20.6640625" bestFit="1" customWidth="1"/>
  </cols>
  <sheetData>
    <row r="1" spans="1:14" x14ac:dyDescent="0.2">
      <c r="A1" s="1" t="s">
        <v>0</v>
      </c>
      <c r="B1" s="1" t="s">
        <v>1</v>
      </c>
      <c r="C1" s="1" t="s">
        <v>23</v>
      </c>
      <c r="D1" s="1" t="s">
        <v>15</v>
      </c>
      <c r="E1" s="1" t="s">
        <v>4</v>
      </c>
      <c r="F1" s="1" t="s">
        <v>24</v>
      </c>
      <c r="G1" s="1" t="s">
        <v>5</v>
      </c>
      <c r="H1" s="1" t="s">
        <v>22</v>
      </c>
      <c r="I1" s="1" t="s">
        <v>6</v>
      </c>
      <c r="J1" s="1" t="s">
        <v>18</v>
      </c>
      <c r="K1" s="1" t="s">
        <v>7</v>
      </c>
      <c r="L1" s="1" t="s">
        <v>21</v>
      </c>
      <c r="M1" s="1" t="s">
        <v>16</v>
      </c>
      <c r="N1" s="1" t="s">
        <v>25</v>
      </c>
    </row>
    <row r="2" spans="1:14" x14ac:dyDescent="0.2">
      <c r="A2">
        <v>1</v>
      </c>
      <c r="B2" t="s">
        <v>11</v>
      </c>
      <c r="C2" t="s">
        <v>11</v>
      </c>
      <c r="D2" t="s">
        <v>12</v>
      </c>
      <c r="E2" s="3">
        <v>-0.24219975999999999</v>
      </c>
      <c r="F2" s="3">
        <f>EXP(E2)</f>
        <v>0.78489937039222224</v>
      </c>
      <c r="G2">
        <v>0.25779999999999997</v>
      </c>
      <c r="H2">
        <f>G2*100</f>
        <v>25.779999999999998</v>
      </c>
      <c r="I2">
        <v>-0.51559999999999995</v>
      </c>
      <c r="J2">
        <f>I2*100</f>
        <v>-51.559999999999995</v>
      </c>
      <c r="K2">
        <v>6.6799999999999998E-2</v>
      </c>
      <c r="L2">
        <f>K2*100</f>
        <v>6.68</v>
      </c>
      <c r="M2">
        <v>0.95699999999999996</v>
      </c>
      <c r="N2" s="4">
        <v>1</v>
      </c>
    </row>
    <row r="3" spans="1:14" x14ac:dyDescent="0.2">
      <c r="A3">
        <v>1</v>
      </c>
      <c r="B3" t="s">
        <v>11</v>
      </c>
      <c r="C3" t="s">
        <v>11</v>
      </c>
      <c r="D3" t="s">
        <v>13</v>
      </c>
      <c r="E3" s="3">
        <v>-4.7345999999999997E-5</v>
      </c>
      <c r="F3" s="3">
        <f t="shared" ref="F3:F7" si="0">EXP(E3)</f>
        <v>0.99995265512080422</v>
      </c>
      <c r="G3">
        <v>0</v>
      </c>
      <c r="H3">
        <f t="shared" ref="H3:H7" si="1">G3*100</f>
        <v>0</v>
      </c>
      <c r="J3">
        <f t="shared" ref="J3:J7" si="2">I3*100</f>
        <v>0</v>
      </c>
      <c r="K3">
        <v>4.0000000000000002E-4</v>
      </c>
      <c r="L3">
        <f t="shared" ref="L3:L7" si="3">K3*100</f>
        <v>0.04</v>
      </c>
      <c r="M3">
        <v>0.96</v>
      </c>
      <c r="N3" s="4"/>
    </row>
    <row r="4" spans="1:14" x14ac:dyDescent="0.2">
      <c r="A4">
        <v>1</v>
      </c>
      <c r="B4" t="s">
        <v>11</v>
      </c>
      <c r="C4" t="s">
        <v>11</v>
      </c>
      <c r="D4" t="s">
        <v>14</v>
      </c>
      <c r="E4">
        <v>0.242793175</v>
      </c>
      <c r="F4" s="3">
        <f t="shared" si="0"/>
        <v>1.2748049353199342</v>
      </c>
      <c r="G4">
        <v>-0.25719999999999998</v>
      </c>
      <c r="H4">
        <f t="shared" si="1"/>
        <v>-25.72</v>
      </c>
      <c r="I4">
        <v>-0.51439999999999997</v>
      </c>
      <c r="J4">
        <f t="shared" si="2"/>
        <v>-51.44</v>
      </c>
      <c r="K4" s="3">
        <v>6.6500000000000004E-2</v>
      </c>
      <c r="L4">
        <f t="shared" si="3"/>
        <v>6.65</v>
      </c>
      <c r="M4">
        <v>0.96599999999999997</v>
      </c>
      <c r="N4" s="4">
        <v>1</v>
      </c>
    </row>
    <row r="5" spans="1:14" x14ac:dyDescent="0.2">
      <c r="A5">
        <v>2</v>
      </c>
      <c r="B5" t="s">
        <v>11</v>
      </c>
      <c r="C5" t="s">
        <v>11</v>
      </c>
      <c r="D5" t="s">
        <v>12</v>
      </c>
      <c r="E5">
        <v>-0.24141677</v>
      </c>
      <c r="F5" s="3">
        <f t="shared" si="0"/>
        <v>0.78551417941349322</v>
      </c>
      <c r="G5">
        <v>0.2586</v>
      </c>
      <c r="H5">
        <f t="shared" si="1"/>
        <v>25.86</v>
      </c>
      <c r="I5">
        <v>-0.51719999999999999</v>
      </c>
      <c r="J5">
        <f t="shared" si="2"/>
        <v>-51.72</v>
      </c>
      <c r="K5">
        <v>6.7199999999999996E-2</v>
      </c>
      <c r="L5">
        <f t="shared" si="3"/>
        <v>6.72</v>
      </c>
      <c r="M5">
        <v>0.96499999999999997</v>
      </c>
      <c r="N5" s="4">
        <v>1</v>
      </c>
    </row>
    <row r="6" spans="1:14" x14ac:dyDescent="0.2">
      <c r="A6">
        <v>2</v>
      </c>
      <c r="B6" t="s">
        <v>11</v>
      </c>
      <c r="C6" t="s">
        <v>11</v>
      </c>
      <c r="D6" t="s">
        <v>13</v>
      </c>
      <c r="E6">
        <v>-1.08625E-3</v>
      </c>
      <c r="F6" s="3">
        <f t="shared" si="0"/>
        <v>0.9989143397559711</v>
      </c>
      <c r="G6">
        <v>-1.1000000000000001E-3</v>
      </c>
      <c r="H6">
        <f t="shared" si="1"/>
        <v>-0.11</v>
      </c>
      <c r="J6">
        <f t="shared" si="2"/>
        <v>0</v>
      </c>
      <c r="K6">
        <v>2.9999999999999997E-4</v>
      </c>
      <c r="L6">
        <f t="shared" si="3"/>
        <v>0.03</v>
      </c>
      <c r="M6">
        <v>0.96</v>
      </c>
      <c r="N6" s="4"/>
    </row>
    <row r="7" spans="1:14" x14ac:dyDescent="0.2">
      <c r="A7">
        <v>2</v>
      </c>
      <c r="B7" t="s">
        <v>11</v>
      </c>
      <c r="C7" t="s">
        <v>11</v>
      </c>
      <c r="D7" t="s">
        <v>14</v>
      </c>
      <c r="E7">
        <v>0.24245738</v>
      </c>
      <c r="F7" s="3">
        <f t="shared" si="0"/>
        <v>1.2743769340610414</v>
      </c>
      <c r="G7">
        <v>-0.25750000000000001</v>
      </c>
      <c r="H7">
        <f t="shared" si="1"/>
        <v>-25.75</v>
      </c>
      <c r="I7">
        <v>-0.5151</v>
      </c>
      <c r="J7">
        <f t="shared" si="2"/>
        <v>-51.51</v>
      </c>
      <c r="K7">
        <v>6.6699999999999995E-2</v>
      </c>
      <c r="L7">
        <f t="shared" si="3"/>
        <v>6.67</v>
      </c>
      <c r="M7">
        <v>0.96099999999999997</v>
      </c>
      <c r="N7" s="4">
        <v>1</v>
      </c>
    </row>
    <row r="11" spans="1:14" x14ac:dyDescent="0.2">
      <c r="E11" s="2"/>
      <c r="F11" s="2"/>
    </row>
    <row r="12" spans="1:14" x14ac:dyDescent="0.2">
      <c r="E12" s="2"/>
      <c r="F12" s="2"/>
    </row>
    <row r="14" spans="1:14" x14ac:dyDescent="0.2">
      <c r="E14" s="3"/>
      <c r="F14" s="3"/>
    </row>
  </sheetData>
  <phoneticPr fontId="2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pi_101</vt:lpstr>
      <vt:lpstr>theta_101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Ayroso</dc:creator>
  <cp:lastModifiedBy>Marco Ayroso</cp:lastModifiedBy>
  <dcterms:created xsi:type="dcterms:W3CDTF">2025-08-24T21:40:35Z</dcterms:created>
  <dcterms:modified xsi:type="dcterms:W3CDTF">2026-01-07T03:17:21Z</dcterms:modified>
</cp:coreProperties>
</file>